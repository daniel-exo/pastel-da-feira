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umos" sheetId="1" state="visible" r:id="rId1"/>
    <sheet xmlns:r="http://schemas.openxmlformats.org/officeDocument/2006/relationships" name="Equipamentos e Custos Únicos" sheetId="2" state="visible" r:id="rId2"/>
    <sheet xmlns:r="http://schemas.openxmlformats.org/officeDocument/2006/relationships" name="Notas de Rendimento" sheetId="3" state="visible" r:id="rId3"/>
    <sheet xmlns:r="http://schemas.openxmlformats.org/officeDocument/2006/relationships" name="Fontes e Metodologia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8A6D1D"/>
      <sz val="11"/>
    </font>
  </fonts>
  <fills count="3">
    <fill>
      <patternFill/>
    </fill>
    <fill>
      <patternFill patternType="gray125"/>
    </fill>
    <fill>
      <patternFill patternType="solid">
        <fgColor rgb="FFF5EFDC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D"/>
      <rgbColor rgb="FF800080"/>
      <rgbColor rgb="FF008080"/>
      <rgbColor rgb="FFC0C0C0"/>
      <rgbColor rgb="FF808080"/>
      <rgbColor rgb="FF9999FF"/>
      <rgbColor rgb="FF993366"/>
      <rgbColor rgb="FFF5EF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8" min="1" max="1"/>
    <col width="36" customWidth="1" style="8" min="2" max="2"/>
    <col width="30" customWidth="1" style="8" min="3" max="3"/>
    <col width="20" customWidth="1" style="8" min="4" max="4"/>
    <col width="18" customWidth="1" style="8" min="5" max="5"/>
    <col width="12" customWidth="1" style="8" min="6" max="6"/>
    <col width="60" customWidth="1" style="8" min="7" max="7"/>
  </cols>
  <sheetData>
    <row r="1" ht="15" customHeight="1" s="9">
      <c r="A1" s="10" t="inlineStr">
        <is>
          <t>Restrição de compra: o Sítio São Benedito só entrega cana às sextas (encomendar até quarta no WhatsApp). O Atacadão tem o melhor preço médio, mas exige carro. O Mercadinho São Jorge é o plano B de conveniência — e cobra por isso. Planeje as compras de acordo.</t>
        </is>
      </c>
    </row>
    <row r="2" ht="15" customHeight="1" s="9">
      <c r="A2" s="10" t="n"/>
      <c r="B2" s="10" t="n"/>
      <c r="C2" s="10" t="n"/>
      <c r="D2" s="10" t="n"/>
      <c r="E2" s="10" t="n"/>
      <c r="F2" s="10" t="n"/>
      <c r="G2" s="10" t="n"/>
    </row>
    <row r="3" ht="15" customHeight="1" s="9">
      <c r="A3" s="11" t="inlineStr">
        <is>
          <t>Fonte</t>
        </is>
      </c>
      <c r="B3" s="11" t="inlineStr">
        <is>
          <t>Item</t>
        </is>
      </c>
      <c r="C3" s="11" t="inlineStr">
        <is>
          <t>Embalagem</t>
        </is>
      </c>
      <c r="D3" s="11" t="inlineStr">
        <is>
          <t>Preço do pacote (R$)</t>
        </is>
      </c>
      <c r="E3" s="11" t="inlineStr">
        <is>
          <t>Preço unitário (R$)</t>
        </is>
      </c>
      <c r="F3" s="11" t="inlineStr">
        <is>
          <t>Base</t>
        </is>
      </c>
      <c r="G3" s="11" t="inlineStr">
        <is>
          <t>Observações</t>
        </is>
      </c>
    </row>
    <row r="4" ht="15" customHeight="1" s="9">
      <c r="A4" s="12" t="inlineStr">
        <is>
          <t>MASSA</t>
        </is>
      </c>
      <c r="B4" s="10" t="n"/>
      <c r="C4" s="10" t="n"/>
      <c r="D4" s="10" t="n"/>
      <c r="E4" s="10" t="n"/>
      <c r="F4" s="10" t="n"/>
      <c r="G4" s="10" t="n"/>
    </row>
    <row r="5" ht="15" customHeight="1" s="9">
      <c r="A5" s="10" t="inlineStr">
        <is>
          <t>Atacadão</t>
        </is>
      </c>
      <c r="B5" s="10" t="inlineStr">
        <is>
          <t>Massa de pastel pronta, rolo grande</t>
        </is>
      </c>
      <c r="C5" s="10" t="inlineStr">
        <is>
          <t>Rolo 2 kg (~35 discos de 14 cm)</t>
        </is>
      </c>
      <c r="D5" s="10" t="n">
        <v>29.9</v>
      </c>
      <c r="E5" s="10">
        <f>D5/35</f>
        <v/>
      </c>
      <c r="F5" s="10" t="inlineStr">
        <is>
          <t>por disco</t>
        </is>
      </c>
      <c r="G5" s="10" t="inlineStr">
        <is>
          <t>A mais prática; validade de 7 dias refrigerada.</t>
        </is>
      </c>
    </row>
    <row r="6" ht="15" customHeight="1" s="9">
      <c r="A6" s="10" t="inlineStr">
        <is>
          <t>Mercadinho São Jorge</t>
        </is>
      </c>
      <c r="B6" s="10" t="inlineStr">
        <is>
          <t>Massa de pastel pronta</t>
        </is>
      </c>
      <c r="C6" s="10" t="inlineStr">
        <is>
          <t>Rolo 1 kg (~17 discos)</t>
        </is>
      </c>
      <c r="D6" s="10" t="n">
        <v>19.9</v>
      </c>
      <c r="E6" s="10">
        <f>D6/17</f>
        <v/>
      </c>
      <c r="F6" s="10" t="inlineStr">
        <is>
          <t>por disco</t>
        </is>
      </c>
      <c r="G6" s="10" t="inlineStr">
        <is>
          <t>Preço de conveniência; só para emergência.</t>
        </is>
      </c>
    </row>
    <row r="7" ht="15" customHeight="1" s="9">
      <c r="A7" s="10" t="inlineStr">
        <is>
          <t>Atacadão (produção própria)</t>
        </is>
      </c>
      <c r="B7" s="10" t="inlineStr">
        <is>
          <t>Farinha de trigo tipo 1</t>
        </is>
      </c>
      <c r="C7" s="10" t="inlineStr">
        <is>
          <t>Saco 5 kg</t>
        </is>
      </c>
      <c r="D7" s="10" t="n">
        <v>21.9</v>
      </c>
      <c r="E7" s="10">
        <f>D7/90</f>
        <v/>
      </c>
      <c r="F7" s="10" t="inlineStr">
        <is>
          <t>por disco</t>
        </is>
      </c>
      <c r="G7" s="10" t="inlineStr">
        <is>
          <t>Rende ~90 discos por saco; exige cilindro de massa e ~3h de preparo.</t>
        </is>
      </c>
    </row>
    <row r="8" ht="15" customHeight="1" s="9">
      <c r="A8" s="12" t="inlineStr">
        <is>
          <t>RECHEIOS</t>
        </is>
      </c>
      <c r="B8" s="10" t="n"/>
      <c r="C8" s="10" t="n"/>
      <c r="D8" s="10" t="n"/>
      <c r="E8" s="10" t="n"/>
      <c r="F8" s="10" t="n"/>
      <c r="G8" s="10" t="n"/>
    </row>
    <row r="9" ht="15" customHeight="1" s="9">
      <c r="A9" s="10" t="inlineStr">
        <is>
          <t>Atacadão</t>
        </is>
      </c>
      <c r="B9" s="10" t="inlineStr">
        <is>
          <t>Carne moída (patinho)</t>
        </is>
      </c>
      <c r="C9" s="10" t="inlineStr">
        <is>
          <t>kg</t>
        </is>
      </c>
      <c r="D9" s="10" t="n">
        <v>34.9</v>
      </c>
      <c r="E9" s="10">
        <f>D9/15</f>
        <v/>
      </c>
      <c r="F9" s="10" t="inlineStr">
        <is>
          <t>por pastel</t>
        </is>
      </c>
      <c r="G9" s="10" t="inlineStr">
        <is>
          <t>1 kg rende ~15 pastéis (ver Notas de Rendimento).</t>
        </is>
      </c>
    </row>
    <row r="10" ht="15" customHeight="1" s="9">
      <c r="A10" s="10" t="inlineStr">
        <is>
          <t>Açougue da Vila</t>
        </is>
      </c>
      <c r="B10" s="10" t="inlineStr">
        <is>
          <t>Carne moída (patinho)</t>
        </is>
      </c>
      <c r="C10" s="10" t="inlineStr">
        <is>
          <t>kg</t>
        </is>
      </c>
      <c r="D10" s="10" t="n">
        <v>39.9</v>
      </c>
      <c r="E10" s="10">
        <f>D10/15</f>
        <v/>
      </c>
      <c r="F10" s="10" t="inlineStr">
        <is>
          <t>por pastel</t>
        </is>
      </c>
      <c r="G10" s="10" t="inlineStr">
        <is>
          <t>Qualidade percebida melhor; o açougueiro negocia acima de 5 kg.</t>
        </is>
      </c>
    </row>
    <row r="11" ht="15" customHeight="1" s="9">
      <c r="A11" s="10" t="inlineStr">
        <is>
          <t>Atacadão</t>
        </is>
      </c>
      <c r="B11" s="10" t="inlineStr">
        <is>
          <t>Mussarela (peça)</t>
        </is>
      </c>
      <c r="C11" s="10" t="inlineStr">
        <is>
          <t>kg</t>
        </is>
      </c>
      <c r="D11" s="10" t="n">
        <v>36.9</v>
      </c>
      <c r="E11" s="10">
        <f>D11/17</f>
        <v/>
      </c>
      <c r="F11" s="10" t="inlineStr">
        <is>
          <t>por pastel</t>
        </is>
      </c>
      <c r="G11" s="10" t="inlineStr">
        <is>
          <t>1 kg rende ~17 pastéis.</t>
        </is>
      </c>
    </row>
    <row r="12" ht="15" customHeight="1" s="9">
      <c r="A12" s="10" t="inlineStr">
        <is>
          <t>Atacadão</t>
        </is>
      </c>
      <c r="B12" s="10" t="inlineStr">
        <is>
          <t>Peito de frango</t>
        </is>
      </c>
      <c r="C12" s="10" t="inlineStr">
        <is>
          <t>kg</t>
        </is>
      </c>
      <c r="D12" s="10" t="n">
        <v>18.9</v>
      </c>
      <c r="E12" s="10">
        <f>D12/16</f>
        <v/>
      </c>
      <c r="F12" s="10" t="inlineStr">
        <is>
          <t>por pastel</t>
        </is>
      </c>
      <c r="G12" s="10" t="inlineStr">
        <is>
          <t>Cozido e desfiado; rende ~16 pastéis/kg, com perda no cozimento.</t>
        </is>
      </c>
    </row>
    <row r="13" ht="15" customHeight="1" s="9">
      <c r="A13" s="10" t="inlineStr">
        <is>
          <t>Atacadão</t>
        </is>
      </c>
      <c r="B13" s="10" t="inlineStr">
        <is>
          <t>Palmito pupunha</t>
        </is>
      </c>
      <c r="C13" s="10" t="inlineStr">
        <is>
          <t>Vidro 530 g (300 g drenado)</t>
        </is>
      </c>
      <c r="D13" s="10" t="n">
        <v>14.9</v>
      </c>
      <c r="E13" s="10">
        <f>D13/6</f>
        <v/>
      </c>
      <c r="F13" s="10" t="inlineStr">
        <is>
          <t>por pastel</t>
        </is>
      </c>
      <c r="G13" s="10" t="inlineStr">
        <is>
          <t>1 vidro rende ~6 pastéis.</t>
        </is>
      </c>
    </row>
    <row r="14" ht="15" customHeight="1" s="9">
      <c r="A14" s="10" t="inlineStr">
        <is>
          <t>Atacadão</t>
        </is>
      </c>
      <c r="B14" s="10" t="inlineStr">
        <is>
          <t>Goiabada cascão</t>
        </is>
      </c>
      <c r="C14" s="10" t="inlineStr">
        <is>
          <t>Caixa 700 g</t>
        </is>
      </c>
      <c r="D14" s="10" t="n">
        <v>8.9</v>
      </c>
      <c r="E14" s="10">
        <f>D14/12</f>
        <v/>
      </c>
      <c r="F14" s="10" t="inlineStr">
        <is>
          <t>por pastel</t>
        </is>
      </c>
      <c r="G14" s="10" t="inlineStr">
        <is>
          <t>Comprada para testes de pastel doce; rende ~12 pastéis.</t>
        </is>
      </c>
    </row>
    <row r="15" ht="15" customHeight="1" s="9">
      <c r="A15" s="10" t="inlineStr">
        <is>
          <t>Feira (barraca do Zé)</t>
        </is>
      </c>
      <c r="B15" s="10" t="inlineStr">
        <is>
          <t>Cebola, alho, cheiro-verde, temperos</t>
        </is>
      </c>
      <c r="C15" s="10" t="inlineStr">
        <is>
          <t>Cesta semanal</t>
        </is>
      </c>
      <c r="D15" s="10" t="n">
        <v>25</v>
      </c>
      <c r="E15" s="10" t="n">
        <v>25</v>
      </c>
      <c r="F15" s="10" t="inlineStr">
        <is>
          <t>por semana</t>
        </is>
      </c>
      <c r="G15" s="10" t="inlineStr">
        <is>
          <t>Combinado informal com o feirante vizinho.</t>
        </is>
      </c>
    </row>
    <row r="16" ht="15" customHeight="1" s="9">
      <c r="A16" s="12" t="inlineStr">
        <is>
          <t>ÓLEO E GÁS</t>
        </is>
      </c>
      <c r="B16" s="10" t="n"/>
      <c r="C16" s="10" t="n"/>
      <c r="D16" s="10" t="n"/>
      <c r="E16" s="10" t="n"/>
      <c r="F16" s="10" t="n"/>
      <c r="G16" s="10" t="n"/>
    </row>
    <row r="17" ht="15" customHeight="1" s="9">
      <c r="A17" s="10" t="inlineStr">
        <is>
          <t>Atacadão</t>
        </is>
      </c>
      <c r="B17" s="10" t="inlineStr">
        <is>
          <t>Óleo de soja</t>
        </is>
      </c>
      <c r="C17" s="10" t="inlineStr">
        <is>
          <t>Caixa 20 × 900 ml</t>
        </is>
      </c>
      <c r="D17" s="10" t="n">
        <v>129.9</v>
      </c>
      <c r="E17" s="10">
        <f>D17/20</f>
        <v/>
      </c>
      <c r="F17" s="10" t="inlineStr">
        <is>
          <t>por garrafa</t>
        </is>
      </c>
      <c r="G17" s="10" t="inlineStr">
        <is>
          <t>Tacho usa ~5 garrafas por carga; troca a cada 2 domingos (antes, se fritar doce — queima mais rápido).</t>
        </is>
      </c>
    </row>
    <row r="18" ht="15" customHeight="1" s="9">
      <c r="A18" s="10" t="inlineStr">
        <is>
          <t>Revendedora da Vila</t>
        </is>
      </c>
      <c r="B18" s="10" t="inlineStr">
        <is>
          <t>Botijão de gás P13</t>
        </is>
      </c>
      <c r="C18" s="10" t="inlineStr">
        <is>
          <t>1 botijão</t>
        </is>
      </c>
      <c r="D18" s="10" t="n">
        <v>115</v>
      </c>
      <c r="E18" s="10">
        <f>D18/4</f>
        <v/>
      </c>
      <c r="F18" s="10" t="inlineStr">
        <is>
          <t>por domingo</t>
        </is>
      </c>
      <c r="G18" s="10" t="inlineStr">
        <is>
          <t>Dura ~4 domingos de fritura contínua.</t>
        </is>
      </c>
    </row>
    <row r="19" ht="15" customHeight="1" s="9">
      <c r="A19" s="12" t="inlineStr">
        <is>
          <t>CANA</t>
        </is>
      </c>
      <c r="B19" s="10" t="n"/>
      <c r="C19" s="10" t="n"/>
      <c r="D19" s="10" t="n"/>
      <c r="E19" s="10" t="n"/>
      <c r="F19" s="10" t="n"/>
      <c r="G19" s="10" t="n"/>
    </row>
    <row r="20" ht="15" customHeight="1" s="9">
      <c r="A20" s="10" t="inlineStr">
        <is>
          <t>Sítio São Benedito</t>
        </is>
      </c>
      <c r="B20" s="10" t="inlineStr">
        <is>
          <t>Cana descascada</t>
        </is>
      </c>
      <c r="C20" s="10" t="inlineStr">
        <is>
          <t>Feixe 20 colmos (~30 L de garapa)</t>
        </is>
      </c>
      <c r="D20" s="10" t="n">
        <v>70</v>
      </c>
      <c r="E20" s="10">
        <f>D20/30</f>
        <v/>
      </c>
      <c r="F20" s="10" t="inlineStr">
        <is>
          <t>por litro</t>
        </is>
      </c>
      <c r="G20" s="10" t="inlineStr">
        <is>
          <t>Entrega sexta na sua casa; encomendar até quarta. Preço de junho.</t>
        </is>
      </c>
    </row>
    <row r="21" ht="15" customHeight="1" s="9">
      <c r="A21" s="10" t="inlineStr">
        <is>
          <t>Distribuidora GeloBom</t>
        </is>
      </c>
      <c r="B21" s="10" t="inlineStr">
        <is>
          <t>Garapa pronta congelada</t>
        </is>
      </c>
      <c r="C21" s="10" t="inlineStr">
        <is>
          <t>Galão 5 L</t>
        </is>
      </c>
      <c r="D21" s="10" t="n">
        <v>42.5</v>
      </c>
      <c r="E21" s="10">
        <f>D21/5</f>
        <v/>
      </c>
      <c r="F21" s="10" t="inlineStr">
        <is>
          <t>por litro</t>
        </is>
      </c>
      <c r="G21" s="10" t="inlineStr">
        <is>
          <t>Alternativa sem moenda; nos testes, sabor visivelmente inferior.</t>
        </is>
      </c>
    </row>
    <row r="22" ht="15" customHeight="1" s="9">
      <c r="A22" s="10" t="inlineStr">
        <is>
          <t>Distribuidora GeloBom</t>
        </is>
      </c>
      <c r="B22" s="10" t="inlineStr">
        <is>
          <t>Gelo em escama</t>
        </is>
      </c>
      <c r="C22" s="10" t="inlineStr">
        <is>
          <t>Saco 10 kg</t>
        </is>
      </c>
      <c r="D22" s="10" t="n">
        <v>14</v>
      </c>
      <c r="E22" s="10">
        <f>D22/40</f>
        <v/>
      </c>
      <c r="F22" s="10" t="inlineStr">
        <is>
          <t>por copo</t>
        </is>
      </c>
      <c r="G22" s="10" t="inlineStr">
        <is>
          <t>1 saco gela ~40 copos; no calor, conte 2 sacos a mais.</t>
        </is>
      </c>
    </row>
    <row r="23" ht="15" customHeight="1" s="9">
      <c r="A23" s="12" t="inlineStr">
        <is>
          <t>DESCARTÁVEIS</t>
        </is>
      </c>
      <c r="B23" s="10" t="n"/>
      <c r="C23" s="10" t="n"/>
      <c r="D23" s="10" t="n"/>
      <c r="E23" s="10" t="n"/>
      <c r="F23" s="10" t="n"/>
      <c r="G23" s="10" t="n"/>
    </row>
    <row r="24" ht="15" customHeight="1" s="9">
      <c r="A24" s="10" t="inlineStr">
        <is>
          <t>Distribuidora EmbalaFácil</t>
        </is>
      </c>
      <c r="B24" s="10" t="inlineStr">
        <is>
          <t>Copo 300 ml</t>
        </is>
      </c>
      <c r="C24" s="10" t="inlineStr">
        <is>
          <t>Pacote 100</t>
        </is>
      </c>
      <c r="D24" s="10" t="n">
        <v>11.9</v>
      </c>
      <c r="E24" s="10">
        <f>D24/100</f>
        <v/>
      </c>
      <c r="F24" s="10" t="inlineStr">
        <is>
          <t>por copo</t>
        </is>
      </c>
      <c r="G24" s="10" t="inlineStr">
        <is>
          <t>Pedido mínimo de 5 pacotes.</t>
        </is>
      </c>
    </row>
    <row r="25" ht="15" customHeight="1" s="9">
      <c r="A25" s="10" t="inlineStr">
        <is>
          <t>Distribuidora EmbalaFácil</t>
        </is>
      </c>
      <c r="B25" s="10" t="inlineStr">
        <is>
          <t>Copo 500 ml</t>
        </is>
      </c>
      <c r="C25" s="10" t="inlineStr">
        <is>
          <t>Pacote 100</t>
        </is>
      </c>
      <c r="D25" s="10" t="n">
        <v>17.9</v>
      </c>
      <c r="E25" s="10">
        <f>D25/100</f>
        <v/>
      </c>
      <c r="F25" s="10" t="inlineStr">
        <is>
          <t>por copo</t>
        </is>
      </c>
      <c r="G25" s="10" t="n"/>
    </row>
    <row r="26" ht="15" customHeight="1" s="9">
      <c r="A26" s="10" t="inlineStr">
        <is>
          <t>Distribuidora EmbalaFácil</t>
        </is>
      </c>
      <c r="B26" s="10" t="inlineStr">
        <is>
          <t>Saco de papel para pastel</t>
        </is>
      </c>
      <c r="C26" s="10" t="inlineStr">
        <is>
          <t>Pacote 500</t>
        </is>
      </c>
      <c r="D26" s="10" t="n">
        <v>44.9</v>
      </c>
      <c r="E26" s="10">
        <f>D26/500</f>
        <v/>
      </c>
      <c r="F26" s="10" t="inlineStr">
        <is>
          <t>por pastel</t>
        </is>
      </c>
      <c r="G26" s="10" t="inlineStr">
        <is>
          <t>O saco kraft segura a gordura melhor que o branco.</t>
        </is>
      </c>
    </row>
    <row r="27" ht="15" customHeight="1" s="9">
      <c r="A27" s="10" t="inlineStr">
        <is>
          <t>Distribuidora EmbalaFácil</t>
        </is>
      </c>
      <c r="B27" s="10" t="inlineStr">
        <is>
          <t>Guardanapos</t>
        </is>
      </c>
      <c r="C27" s="10" t="inlineStr">
        <is>
          <t>Fardo 20 × 50</t>
        </is>
      </c>
      <c r="D27" s="10" t="n">
        <v>28.9</v>
      </c>
      <c r="E27" s="10">
        <f>D27/1000</f>
        <v/>
      </c>
      <c r="F27" s="10" t="inlineStr">
        <is>
          <t>por unidade</t>
        </is>
      </c>
      <c r="G27" s="10" t="n"/>
    </row>
    <row r="28" ht="15" customHeight="1" s="9">
      <c r="A28" s="10" t="inlineStr">
        <is>
          <t>Mercadinho São Jorge</t>
        </is>
      </c>
      <c r="B28" s="10" t="inlineStr">
        <is>
          <t>Copo 300 ml (emergência)</t>
        </is>
      </c>
      <c r="C28" s="10" t="inlineStr">
        <is>
          <t>Pacote 25</t>
        </is>
      </c>
      <c r="D28" s="10" t="n">
        <v>7.49</v>
      </c>
      <c r="E28" s="10">
        <f>D28/25</f>
        <v/>
      </c>
      <c r="F28" s="10" t="inlineStr">
        <is>
          <t>por copo</t>
        </is>
      </c>
      <c r="G28" s="10" t="inlineStr">
        <is>
          <t>Custo unitário péssimo — só para apagar incêndio.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8" min="1" max="1"/>
    <col width="42" customWidth="1" style="8" min="2" max="2"/>
    <col width="14" customWidth="1" style="8" min="3" max="3"/>
    <col width="10" customWidth="1" style="8" min="4" max="4"/>
    <col width="60" customWidth="1" style="8" min="5" max="5"/>
  </cols>
  <sheetData>
    <row r="1" ht="15" customHeight="1" s="9">
      <c r="A1" s="11" t="inlineStr">
        <is>
          <t>Fonte</t>
        </is>
      </c>
      <c r="B1" s="11" t="inlineStr">
        <is>
          <t>Item</t>
        </is>
      </c>
      <c r="C1" s="11" t="inlineStr">
        <is>
          <t>Preço (R$)</t>
        </is>
      </c>
      <c r="D1" s="11" t="inlineStr">
        <is>
          <t>Tipo</t>
        </is>
      </c>
      <c r="E1" s="11" t="inlineStr">
        <is>
          <t>Observações</t>
        </is>
      </c>
    </row>
    <row r="2" ht="15" customHeight="1" s="9">
      <c r="A2" s="10" t="inlineStr">
        <is>
          <t>OLX (usado)</t>
        </is>
      </c>
      <c r="B2" s="10" t="inlineStr">
        <is>
          <t>Moenda de cana (garapeira) com motor</t>
        </is>
      </c>
      <c r="C2" s="10" t="n">
        <v>3200</v>
      </c>
      <c r="D2" s="10" t="inlineStr">
        <is>
          <t>Único</t>
        </is>
      </c>
      <c r="E2" s="10" t="inlineStr">
        <is>
          <t>Alternativa: aluguel com o Bira (feira de sábado) por R$ 180/domingo.</t>
        </is>
      </c>
    </row>
    <row r="3" ht="15" customHeight="1" s="9">
      <c r="A3" s="10" t="inlineStr">
        <is>
          <t>Mercado Livre</t>
        </is>
      </c>
      <c r="B3" s="10" t="inlineStr">
        <is>
          <t>Tacho fritador a gás 7 L, aço inox</t>
        </is>
      </c>
      <c r="C3" s="10" t="n">
        <v>489</v>
      </c>
      <c r="D3" s="10" t="inlineStr">
        <is>
          <t>Único</t>
        </is>
      </c>
      <c r="E3" s="10" t="inlineStr">
        <is>
          <t>Frete incluso.</t>
        </is>
      </c>
    </row>
    <row r="4" ht="15" customHeight="1" s="9">
      <c r="A4" s="10" t="inlineStr">
        <is>
          <t>Mercado Livre</t>
        </is>
      </c>
      <c r="B4" s="10" t="inlineStr">
        <is>
          <t>Tenda dobrável 3 × 3 m</t>
        </is>
      </c>
      <c r="C4" s="10" t="n">
        <v>650</v>
      </c>
      <c r="D4" s="10" t="inlineStr">
        <is>
          <t>Único</t>
        </is>
      </c>
      <c r="E4" s="10" t="inlineStr">
        <is>
          <t>A associação da feira exige lona amarela — confirme antes de comprar.</t>
        </is>
      </c>
    </row>
    <row r="5" ht="15" customHeight="1" s="9">
      <c r="A5" s="10" t="inlineStr">
        <is>
          <t>Subprefeitura</t>
        </is>
      </c>
      <c r="B5" s="10" t="inlineStr">
        <is>
          <t>TPU — Termo de Permissão de Uso (banca fixa de rua)</t>
        </is>
      </c>
      <c r="C5" s="10" t="n">
        <v>380</v>
      </c>
      <c r="D5" s="10" t="inlineStr">
        <is>
          <t>Anual</t>
        </is>
      </c>
      <c r="E5" s="10" t="inlineStr">
        <is>
          <t>Vale para qualquer ponto autorizado do bairro. Taxa da associação (R$ 30/domingo) só se montar DENTRO da feira.</t>
        </is>
      </c>
    </row>
    <row r="6" ht="15" customHeight="1" s="9">
      <c r="A6" s="10" t="inlineStr">
        <is>
          <t>Mercado Livre</t>
        </is>
      </c>
      <c r="B6" s="10" t="inlineStr">
        <is>
          <t>Caixa térmica 75 L</t>
        </is>
      </c>
      <c r="C6" s="10" t="n">
        <v>280</v>
      </c>
      <c r="D6" s="10" t="inlineStr">
        <is>
          <t>Único</t>
        </is>
      </c>
      <c r="E6" s="10" t="n"/>
    </row>
    <row r="7" ht="15" customHeight="1" s="9">
      <c r="A7" s="10" t="inlineStr">
        <is>
          <t>Adquirente (maquininha)</t>
        </is>
      </c>
      <c r="B7" s="10" t="inlineStr">
        <is>
          <t>Maquininha de cartão</t>
        </is>
      </c>
      <c r="C7" s="10" t="n">
        <v>79</v>
      </c>
      <c r="D7" s="10" t="inlineStr">
        <is>
          <t>Único</t>
        </is>
      </c>
      <c r="E7" s="10" t="inlineStr">
        <is>
          <t>Taxas: débito 1,99% · crédito 3,15% · Pix 0%.</t>
        </is>
      </c>
    </row>
    <row r="8" ht="15" customHeight="1" s="9">
      <c r="A8" s="10" t="inlineStr">
        <is>
          <t>Gráfica do bairro</t>
        </is>
      </c>
      <c r="B8" s="10" t="inlineStr">
        <is>
          <t>Banner + placa de preços</t>
        </is>
      </c>
      <c r="C8" s="10" t="n">
        <v>120</v>
      </c>
      <c r="D8" s="10" t="inlineStr">
        <is>
          <t>Único</t>
        </is>
      </c>
      <c r="E8" s="10" t="inlineStr">
        <is>
          <t>Refazer quando o manual de marca ficar pronto.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0" customWidth="1" style="8" min="1" max="1"/>
  </cols>
  <sheetData>
    <row r="1" ht="15" customHeight="1" s="9">
      <c r="A1" s="13" t="inlineStr">
        <is>
          <t>Notas de rendimento — para calcular o custo por pastel e por copo</t>
        </is>
      </c>
    </row>
    <row r="2" ht="15" customHeight="1" s="9">
      <c r="A2" s="14" t="n"/>
    </row>
    <row r="3" ht="15" customHeight="1" s="9">
      <c r="A3" s="13" t="inlineStr">
        <is>
          <t>Recheio por pastel</t>
        </is>
      </c>
    </row>
    <row r="4" ht="23.85" customHeight="1" s="9">
      <c r="A4" s="14" t="inlineStr">
        <is>
          <t>Pastel grande (disco de 14 cm) leva 60–70 g de carne temperada (1 kg ≈ 15 pastéis), 55–60 g de mussarela (1 kg ≈ 17), ou 50 g de palmito na mistura com molho (1 vidro ≈ 6). Use o lado de cima da faixa para custear e depois confira no seu lote real.</t>
        </is>
      </c>
    </row>
    <row r="5" ht="15" customHeight="1" s="9">
      <c r="A5" s="14" t="n"/>
    </row>
    <row r="6" ht="15" customHeight="1" s="9">
      <c r="A6" s="13" t="inlineStr">
        <is>
          <t>Óleo</t>
        </is>
      </c>
    </row>
    <row r="7" ht="23.85" customHeight="1" s="9">
      <c r="A7" s="14" t="inlineStr">
        <is>
          <t>O tacho de 7 L usa ~5 garrafas de 900 ml por carga. A carga aguenta 2 domingos de fritura salgada OU 1 domingo se houver fritura doce (açúcar queima o óleo). Óleo escuro = trocar, sem discussão.</t>
        </is>
      </c>
    </row>
    <row r="8" ht="15" customHeight="1" s="9">
      <c r="A8" s="14" t="n"/>
    </row>
    <row r="9" ht="15" customHeight="1" s="9">
      <c r="A9" s="13" t="inlineStr">
        <is>
          <t>Garapa</t>
        </is>
      </c>
    </row>
    <row r="10" ht="23.85" customHeight="1" s="9">
      <c r="A10" s="14" t="inlineStr">
        <is>
          <t>Um feixe de 20 colmos rende ~30 L de garapa. Copo de 300 ml com gelo usa ~250 ml → ~120 copos por feixe. Sem gelo no copo, ~100. A garapa não dura: moeu, vendeu — oxidou em 3h fora do gelo.</t>
        </is>
      </c>
    </row>
    <row r="11" ht="15" customHeight="1" s="9">
      <c r="A11" s="14" t="n"/>
    </row>
    <row r="12" ht="15" customHeight="1" s="9">
      <c r="A12" s="13" t="inlineStr">
        <is>
          <t>Gelo</t>
        </is>
      </c>
    </row>
    <row r="13" ht="15" customHeight="1" s="9">
      <c r="A13" s="14" t="inlineStr">
        <is>
          <t>1 saco de 10 kg gela ~40 copos servidos. Em domingo de calor (&gt;28 °C), o consumo de caldo sobe ~40% — leve 2 sacos extras.</t>
        </is>
      </c>
    </row>
    <row r="14" ht="15" customHeight="1" s="9">
      <c r="A14" s="14" t="n"/>
    </row>
    <row r="15" ht="15" customHeight="1" s="9">
      <c r="A15" s="13" t="inlineStr">
        <is>
          <t>Quebra e sobra</t>
        </is>
      </c>
    </row>
    <row r="16" ht="23.85" customHeight="1" s="9">
      <c r="A16" s="14" t="inlineStr">
        <is>
          <t>Conte 5% de discos rasgados/colados no transporte e 2–3 pastéis 'de cortesia' por domingo (degustação, vizinho de banca, fiscal simpático).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0" customWidth="1" style="8" min="1" max="1"/>
  </cols>
  <sheetData>
    <row r="1" ht="15" customHeight="1" s="9">
      <c r="A1" s="13" t="inlineStr">
        <is>
          <t>Fontes e metodologia</t>
        </is>
      </c>
    </row>
    <row r="2" ht="15" customHeight="1" s="9">
      <c r="A2" s="14" t="n"/>
    </row>
    <row r="3" ht="15" customHeight="1" s="9">
      <c r="A3" s="13" t="inlineStr">
        <is>
          <t>Janela de coleta</t>
        </is>
      </c>
    </row>
    <row r="4" ht="23.85" customHeight="1" s="9">
      <c r="A4" s="14" t="inlineStr">
        <is>
          <t>Preços coletados na semana de 1º de junho de 2026. Visita presencial ao Atacadão e ao Mercadinho São Jorge; cotação do Sítio São Benedito por WhatsApp; preços de Mercado Livre e OLX consultados na mesma semana, sem frete quando não indicado.</t>
        </is>
      </c>
    </row>
    <row r="5" ht="15" customHeight="1" s="9">
      <c r="A5" s="14" t="n"/>
    </row>
    <row r="6" ht="15" customHeight="1" s="9">
      <c r="A6" s="13" t="inlineStr">
        <is>
          <t>Ressalvas conhecidas</t>
        </is>
      </c>
    </row>
    <row r="7" ht="35.05" customHeight="1" s="9">
      <c r="A7" s="14" t="inlineStr">
        <is>
          <t>A cana sobe 15–25% na entressafra (setembro–novembro) — os valores são de safra cheia. Carne moída oscila semana a semana; o valor é a média de duas visitas. Na EmbalaFácil, fardos acima de 10 pacotes têm ~10% de desconto não refletido aqui. As taxas da maquininha são as do plano básico, sem antecipação.</t>
        </is>
      </c>
    </row>
    <row r="8" ht="15" customHeight="1" s="9">
      <c r="A8" s="14" t="n"/>
    </row>
    <row r="9" ht="15" customHeight="1" s="9">
      <c r="A9" s="13" t="inlineStr">
        <is>
          <t>Uso pretendido</t>
        </is>
      </c>
    </row>
    <row r="10" ht="23.85" customHeight="1" s="9">
      <c r="A10" s="14" t="inlineStr">
        <is>
          <t>Esta planilha alimenta a decisão de preço (Módulo 3 do caso). Os rendimentos da aba 'Notas de Rendimento' são estimativas de teste de cozinha doméstica — valide no primeiro domingo real.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2026-06-12T17:18:55Z</dcterms:created>
  <dcterms:modified xmlns:dcterms="http://purl.org/dc/terms/" xmlns:xsi="http://www.w3.org/2001/XMLSchema-instance" xsi:type="dcterms:W3CDTF">2026-06-12T17:32:05Z</dcterms:modified>
  <cp:revision>0</cp:revision>
</cp:coreProperties>
</file>